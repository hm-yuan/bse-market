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15"/>
  </bookViews>
  <sheets>
    <sheet name="file" sheetId="1" r:id="rId1"/>
  </sheets>
  <externalReferences>
    <externalReference r:id="rId2"/>
  </externalReferences>
  <definedNames>
    <definedName name="_xlnm._FilterDatabase" localSheetId="0" hidden="1">file!$F$1:$F$85</definedName>
  </definedNames>
  <calcPr calcId="144525"/>
</workbook>
</file>

<file path=xl/sharedStrings.xml><?xml version="1.0" encoding="utf-8"?>
<sst xmlns="http://schemas.openxmlformats.org/spreadsheetml/2006/main" count="258" uniqueCount="258">
  <si>
    <t>代码</t>
  </si>
  <si>
    <t>名称</t>
  </si>
  <si>
    <t>首字母</t>
  </si>
  <si>
    <t>行业</t>
  </si>
  <si>
    <t>总股本</t>
  </si>
  <si>
    <t>上市日期</t>
  </si>
  <si>
    <t>835185.BJ</t>
  </si>
  <si>
    <t>贝特瑞</t>
  </si>
  <si>
    <t>BTR</t>
  </si>
  <si>
    <t>835368.BJ</t>
  </si>
  <si>
    <t>连城数控</t>
  </si>
  <si>
    <t>LCSK</t>
  </si>
  <si>
    <t>830946.BJ</t>
  </si>
  <si>
    <t>森萱医药</t>
  </si>
  <si>
    <t>SXYY</t>
  </si>
  <si>
    <t>831445.BJ</t>
  </si>
  <si>
    <t>龙竹科技</t>
  </si>
  <si>
    <t>LZKJ</t>
  </si>
  <si>
    <t>830799.BJ</t>
  </si>
  <si>
    <t>艾融软件</t>
  </si>
  <si>
    <t>ARRJ</t>
  </si>
  <si>
    <t>835508.BJ</t>
  </si>
  <si>
    <t>殷图网联</t>
  </si>
  <si>
    <t>YTWL</t>
  </si>
  <si>
    <t>831010.BJ</t>
  </si>
  <si>
    <t>凯添燃气</t>
  </si>
  <si>
    <t>TKRQ</t>
  </si>
  <si>
    <t>830964.BJ</t>
  </si>
  <si>
    <t>润农节水</t>
  </si>
  <si>
    <t>RNJS</t>
  </si>
  <si>
    <t>430418.BJ</t>
  </si>
  <si>
    <t>苏轴股份</t>
  </si>
  <si>
    <t>SZGF</t>
  </si>
  <si>
    <t>430198.BJ</t>
  </si>
  <si>
    <t>微创光电</t>
  </si>
  <si>
    <t>WCGD</t>
  </si>
  <si>
    <t>835640.BJ</t>
  </si>
  <si>
    <t>富士达</t>
  </si>
  <si>
    <t>FSD</t>
  </si>
  <si>
    <t>839729.BJ</t>
  </si>
  <si>
    <t>永顺生物</t>
  </si>
  <si>
    <t>YSSW</t>
  </si>
  <si>
    <t>835184.BJ</t>
  </si>
  <si>
    <t>国源科技</t>
  </si>
  <si>
    <t>GYKJ</t>
  </si>
  <si>
    <t>833819.BJ</t>
  </si>
  <si>
    <t>颖泰生物</t>
  </si>
  <si>
    <t>YTSW</t>
  </si>
  <si>
    <t>831961.BJ</t>
  </si>
  <si>
    <t>创远仪器</t>
  </si>
  <si>
    <t>CYYQ</t>
  </si>
  <si>
    <t>832317.BJ</t>
  </si>
  <si>
    <t>观典防务</t>
  </si>
  <si>
    <t>GDFW</t>
  </si>
  <si>
    <t>831370.BJ</t>
  </si>
  <si>
    <t>新安洁</t>
  </si>
  <si>
    <t>XAJ</t>
  </si>
  <si>
    <t>833874.BJ</t>
  </si>
  <si>
    <t>泰祥股份</t>
  </si>
  <si>
    <t>TXGF</t>
  </si>
  <si>
    <t>430489.BJ</t>
  </si>
  <si>
    <t>佳先股份</t>
  </si>
  <si>
    <t>JXGF</t>
  </si>
  <si>
    <t>833994.BJ</t>
  </si>
  <si>
    <t>翰博高新</t>
  </si>
  <si>
    <t>HBGX</t>
  </si>
  <si>
    <t>838163.BJ</t>
  </si>
  <si>
    <t>方大股份</t>
  </si>
  <si>
    <t>FDGF</t>
  </si>
  <si>
    <t>834682.BJ</t>
  </si>
  <si>
    <t>球冠电缆</t>
  </si>
  <si>
    <t>QGDL</t>
  </si>
  <si>
    <t>833266.BJ</t>
  </si>
  <si>
    <t>生物谷</t>
  </si>
  <si>
    <t>SWG</t>
  </si>
  <si>
    <t>834415.BJ</t>
  </si>
  <si>
    <t>恒拓开源</t>
  </si>
  <si>
    <t>HTKY</t>
  </si>
  <si>
    <t>836263.BJ</t>
  </si>
  <si>
    <t>中航泰达</t>
  </si>
  <si>
    <t>ZHTD</t>
  </si>
  <si>
    <t>836433.BJ</t>
  </si>
  <si>
    <t>大唐药业</t>
  </si>
  <si>
    <t>DTYY</t>
  </si>
  <si>
    <t>837242.BJ</t>
  </si>
  <si>
    <t>建邦科技</t>
  </si>
  <si>
    <t>JBKJ</t>
  </si>
  <si>
    <t>836149.BJ</t>
  </si>
  <si>
    <t>旭杰科技</t>
  </si>
  <si>
    <t>XJKJ</t>
  </si>
  <si>
    <t>834475.BJ</t>
  </si>
  <si>
    <t>三友科技</t>
  </si>
  <si>
    <t>SYKJ</t>
  </si>
  <si>
    <t>839167.BJ</t>
  </si>
  <si>
    <t>同享科技</t>
  </si>
  <si>
    <t>TXKJ</t>
  </si>
  <si>
    <t>832278.BJ</t>
  </si>
  <si>
    <t>鹿得医疗</t>
  </si>
  <si>
    <t>LDYL</t>
  </si>
  <si>
    <t>834021.BJ</t>
  </si>
  <si>
    <t>流金岁月</t>
  </si>
  <si>
    <t>LJSY</t>
  </si>
  <si>
    <t>830839.BJ</t>
  </si>
  <si>
    <t>万通液压</t>
  </si>
  <si>
    <t>WTYY</t>
  </si>
  <si>
    <t>871396.BJ</t>
  </si>
  <si>
    <t>常辅股份</t>
  </si>
  <si>
    <t>CFGF</t>
  </si>
  <si>
    <t>430047.BJ</t>
  </si>
  <si>
    <t>诺思兰德</t>
  </si>
  <si>
    <t>NSLD</t>
  </si>
  <si>
    <t>838030.BJ</t>
  </si>
  <si>
    <t>德众汽车</t>
  </si>
  <si>
    <t>DZQC</t>
  </si>
  <si>
    <t>835670.BJ</t>
  </si>
  <si>
    <t>数字人</t>
  </si>
  <si>
    <t>SZR</t>
  </si>
  <si>
    <t>832000.BJ</t>
  </si>
  <si>
    <t>安徽凤凰</t>
  </si>
  <si>
    <t>AHFH</t>
  </si>
  <si>
    <t>831856.BJ</t>
  </si>
  <si>
    <t>浩淼科技</t>
  </si>
  <si>
    <t>HMKJ</t>
  </si>
  <si>
    <t>430510.BJ</t>
  </si>
  <si>
    <t>丰光精密</t>
  </si>
  <si>
    <t>FGJM</t>
  </si>
  <si>
    <t>836675.BJ</t>
  </si>
  <si>
    <t>秉扬科技</t>
  </si>
  <si>
    <t>BYKJ</t>
  </si>
  <si>
    <t>837344.BJ</t>
  </si>
  <si>
    <t>三元基因</t>
  </si>
  <si>
    <t>SYJY</t>
  </si>
  <si>
    <t>833509.BJ</t>
  </si>
  <si>
    <t>同惠电子</t>
  </si>
  <si>
    <t>THDZ</t>
  </si>
  <si>
    <t>836826.BJ</t>
  </si>
  <si>
    <t>盖世食品</t>
  </si>
  <si>
    <t>GSSP</t>
  </si>
  <si>
    <t>838275.BJ</t>
  </si>
  <si>
    <t>驱动力</t>
  </si>
  <si>
    <t>QDL</t>
  </si>
  <si>
    <t>833427.BJ</t>
  </si>
  <si>
    <t>华维设计</t>
  </si>
  <si>
    <t>HWSJ</t>
  </si>
  <si>
    <t>836239.BJ</t>
  </si>
  <si>
    <t>长虹能源</t>
  </si>
  <si>
    <t>CHNY</t>
  </si>
  <si>
    <t>832735.BJ</t>
  </si>
  <si>
    <t>德源药业</t>
  </si>
  <si>
    <t>DYYY</t>
  </si>
  <si>
    <t>834599.BJ</t>
  </si>
  <si>
    <t>同力股份</t>
  </si>
  <si>
    <t>TLGF</t>
  </si>
  <si>
    <t>830832.BJ</t>
  </si>
  <si>
    <t>齐鲁华信</t>
  </si>
  <si>
    <t>QLHX</t>
  </si>
  <si>
    <t>832225.BJ</t>
  </si>
  <si>
    <t>利通科技</t>
  </si>
  <si>
    <t>LTKJ</t>
  </si>
  <si>
    <t>831726.BJ</t>
  </si>
  <si>
    <t>朱老六</t>
  </si>
  <si>
    <t>ZLL</t>
  </si>
  <si>
    <t>833523.BJ</t>
  </si>
  <si>
    <t>德瑞锂电</t>
  </si>
  <si>
    <t>DRLD</t>
  </si>
  <si>
    <t>837212.BJ</t>
  </si>
  <si>
    <t>智新电子</t>
  </si>
  <si>
    <t>ZXDZ</t>
  </si>
  <si>
    <t>831768.BJ</t>
  </si>
  <si>
    <t>拾比佰</t>
  </si>
  <si>
    <t>SBB</t>
  </si>
  <si>
    <t>834765.BJ</t>
  </si>
  <si>
    <t>美之高</t>
  </si>
  <si>
    <t>MZG</t>
  </si>
  <si>
    <t>832885.BJ</t>
  </si>
  <si>
    <t>星辰科技</t>
  </si>
  <si>
    <t>XCKJ</t>
  </si>
  <si>
    <t>839946.BJ</t>
  </si>
  <si>
    <t>华阳变速</t>
  </si>
  <si>
    <t>HYBS</t>
  </si>
  <si>
    <t>871553.BJ</t>
  </si>
  <si>
    <t>凯腾精工</t>
  </si>
  <si>
    <t>KTJG</t>
  </si>
  <si>
    <t>430090.BJ</t>
  </si>
  <si>
    <t>同辉信息</t>
  </si>
  <si>
    <t>THXX</t>
  </si>
  <si>
    <t>832566.BJ</t>
  </si>
  <si>
    <t>梓橦宫</t>
  </si>
  <si>
    <t>ZTG</t>
  </si>
  <si>
    <t>871642.BJ</t>
  </si>
  <si>
    <t>通易航天</t>
  </si>
  <si>
    <t>TYHT</t>
  </si>
  <si>
    <t>831039.BJ</t>
  </si>
  <si>
    <t>国义招标</t>
  </si>
  <si>
    <t>GYZB</t>
  </si>
  <si>
    <t>835174.BJ</t>
  </si>
  <si>
    <t>五新隧装</t>
  </si>
  <si>
    <t>WXSZ</t>
  </si>
  <si>
    <t>835305.BJ</t>
  </si>
  <si>
    <t>云创数据</t>
  </si>
  <si>
    <t>YCSJ</t>
  </si>
  <si>
    <t>836077.BJ</t>
  </si>
  <si>
    <t>吉林碳谷</t>
  </si>
  <si>
    <t>JLTG</t>
  </si>
  <si>
    <t>872925.BJ</t>
  </si>
  <si>
    <t>锦好医疗</t>
  </si>
  <si>
    <t>JHYL</t>
  </si>
  <si>
    <t>836892.BJ</t>
  </si>
  <si>
    <t>广咨国际</t>
  </si>
  <si>
    <t>GZGJ</t>
  </si>
  <si>
    <t>838924.BJ</t>
  </si>
  <si>
    <t>广脉科技</t>
  </si>
  <si>
    <t>GMKJ</t>
  </si>
  <si>
    <t>831305.BJ</t>
  </si>
  <si>
    <t>海希通讯</t>
  </si>
  <si>
    <t>HXTX</t>
  </si>
  <si>
    <t>832089.BJ</t>
  </si>
  <si>
    <t>禾昌聚合</t>
  </si>
  <si>
    <t>HCJH</t>
  </si>
  <si>
    <t>871981.BJ</t>
  </si>
  <si>
    <t>晶赛科技</t>
  </si>
  <si>
    <t>JSKJ</t>
  </si>
  <si>
    <t>831832.BJ</t>
  </si>
  <si>
    <t>科达自控</t>
  </si>
  <si>
    <t>KDZK</t>
  </si>
  <si>
    <t>839680.BJ</t>
  </si>
  <si>
    <t>广道高新</t>
  </si>
  <si>
    <t>GDGX</t>
  </si>
  <si>
    <t>837092.BJ</t>
  </si>
  <si>
    <t>汉鑫科技</t>
  </si>
  <si>
    <t>HXKJ</t>
  </si>
  <si>
    <t>833873.BJ</t>
  </si>
  <si>
    <t>中设咨询</t>
  </si>
  <si>
    <t>ZSZX</t>
  </si>
  <si>
    <t>836260.BJ</t>
  </si>
  <si>
    <t>中寰股份</t>
  </si>
  <si>
    <t>ZHGF</t>
  </si>
  <si>
    <t>870436.BJ</t>
  </si>
  <si>
    <t>大地电气</t>
  </si>
  <si>
    <t>DDDQ</t>
  </si>
  <si>
    <t>833454.BJ</t>
  </si>
  <si>
    <t>同心传动</t>
  </si>
  <si>
    <t>TXCD</t>
  </si>
  <si>
    <t>832145.BJ</t>
  </si>
  <si>
    <t>恒合股份</t>
  </si>
  <si>
    <t>HHGF</t>
  </si>
  <si>
    <t>832171.BJ</t>
  </si>
  <si>
    <t>志晟信息</t>
  </si>
  <si>
    <t>ZSXX</t>
  </si>
  <si>
    <t>836720.BJ</t>
  </si>
  <si>
    <t>吉冈精密</t>
  </si>
  <si>
    <t>JGJM</t>
  </si>
  <si>
    <t>871245.BJ</t>
  </si>
  <si>
    <t>威博液压</t>
  </si>
  <si>
    <t>WBYY</t>
  </si>
  <si>
    <t>870204.BJ</t>
  </si>
  <si>
    <t>沪江材料</t>
  </si>
  <si>
    <t>HJCL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</si>
</sst>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0"/>
      <name val="Arial"/>
      <charset val="134"/>
    </font>
    <font>
      <sz val="10"/>
      <name val="仿宋"/>
      <charset val="134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6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4" borderId="10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2" borderId="9" applyNumberFormat="0" applyAlignment="0" applyProtection="0">
      <alignment vertical="center"/>
    </xf>
    <xf numFmtId="0" fontId="3" fillId="2" borderId="7" applyNumberFormat="0" applyAlignment="0" applyProtection="0">
      <alignment vertical="center"/>
    </xf>
    <xf numFmtId="0" fontId="18" fillId="17" borderId="1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oftware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po_listeddate"/>
      <definedName name="s_share_total"/>
      <definedName name="s_info_industry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5"/>
  <sheetViews>
    <sheetView tabSelected="1" topLeftCell="A53" workbookViewId="0">
      <selection activeCell="C85" sqref="C85"/>
    </sheetView>
  </sheetViews>
  <sheetFormatPr defaultColWidth="9.11111111111111" defaultRowHeight="13.2" outlineLevelCol="5"/>
  <cols>
    <col min="1" max="1" width="17.1111111111111" style="1" customWidth="1"/>
    <col min="2" max="3" width="9.55555555555556" style="1" customWidth="1"/>
    <col min="4" max="4" width="44.6666666666667" customWidth="1"/>
    <col min="5" max="5" width="12.7777777777778" style="2" customWidth="1"/>
    <col min="6" max="6" width="11.6666666666667" style="3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</row>
    <row r="2" spans="1:6">
      <c r="A2" s="7" t="s">
        <v>6</v>
      </c>
      <c r="B2" s="7" t="s">
        <v>7</v>
      </c>
      <c r="C2" s="7" t="s">
        <v>8</v>
      </c>
      <c r="D2" s="7" t="str">
        <f>[1]!s_info_industry(A2,5,5)</f>
        <v>电力设备--电池--电池化学品</v>
      </c>
      <c r="E2" s="8">
        <f>[1]!s_share_total(A2,"",1)</f>
        <v>485386150</v>
      </c>
      <c r="F2" s="6" t="str">
        <f>[1]!s_ipo_listeddate(A2)</f>
        <v>2020-07-27</v>
      </c>
    </row>
    <row r="3" spans="1:6">
      <c r="A3" s="7" t="s">
        <v>9</v>
      </c>
      <c r="B3" s="7" t="s">
        <v>10</v>
      </c>
      <c r="C3" s="7" t="s">
        <v>11</v>
      </c>
      <c r="D3" s="7" t="str">
        <f>[1]!s_info_industry(A3,5,5)</f>
        <v>电力设备--光伏设备--光伏加工设备</v>
      </c>
      <c r="E3" s="8">
        <f>[1]!s_share_total(A3,"",1)</f>
        <v>232502800</v>
      </c>
      <c r="F3" s="6" t="str">
        <f>[1]!s_ipo_listeddate(A3)</f>
        <v>2020-07-27</v>
      </c>
    </row>
    <row r="4" spans="1:6">
      <c r="A4" s="7" t="s">
        <v>12</v>
      </c>
      <c r="B4" s="7" t="s">
        <v>13</v>
      </c>
      <c r="C4" s="7" t="s">
        <v>14</v>
      </c>
      <c r="D4" s="7" t="str">
        <f>[1]!s_info_industry(A4,5,5)</f>
        <v>医药生物--化学制药--原料药</v>
      </c>
      <c r="E4" s="8">
        <f>[1]!s_share_total(A4,"",1)</f>
        <v>426918340</v>
      </c>
      <c r="F4" s="6" t="str">
        <f>[1]!s_ipo_listeddate(A4)</f>
        <v>2020-07-27</v>
      </c>
    </row>
    <row r="5" spans="1:6">
      <c r="A5" s="7" t="s">
        <v>15</v>
      </c>
      <c r="B5" s="7" t="s">
        <v>16</v>
      </c>
      <c r="C5" s="7" t="s">
        <v>17</v>
      </c>
      <c r="D5" s="7" t="str">
        <f>[1]!s_info_industry(A5,5,5)</f>
        <v>轻工制造--家居用品--定制家居</v>
      </c>
      <c r="E5" s="8">
        <f>[1]!s_share_total(A5,"",1)</f>
        <v>115065800</v>
      </c>
      <c r="F5" s="6" t="str">
        <f>[1]!s_ipo_listeddate(A5)</f>
        <v>2020-07-27</v>
      </c>
    </row>
    <row r="6" spans="1:6">
      <c r="A6" s="7" t="s">
        <v>18</v>
      </c>
      <c r="B6" s="7" t="s">
        <v>19</v>
      </c>
      <c r="C6" s="7" t="s">
        <v>20</v>
      </c>
      <c r="D6" s="7" t="str">
        <f>[1]!s_info_industry(A6,5,5)</f>
        <v>计算机--软件开发--垂直应用软件</v>
      </c>
      <c r="E6" s="8">
        <f>[1]!s_share_total(A6,"",1)</f>
        <v>140769250</v>
      </c>
      <c r="F6" s="6" t="str">
        <f>[1]!s_ipo_listeddate(A6)</f>
        <v>2020-07-27</v>
      </c>
    </row>
    <row r="7" spans="1:6">
      <c r="A7" s="7" t="s">
        <v>21</v>
      </c>
      <c r="B7" s="7" t="s">
        <v>22</v>
      </c>
      <c r="C7" s="7" t="s">
        <v>23</v>
      </c>
      <c r="D7" s="7" t="str">
        <f>[1]!s_info_industry(A7,5,5)</f>
        <v>机械设备--自动化设备--其他自动化设备</v>
      </c>
      <c r="E7" s="8">
        <f>[1]!s_share_total(A7,"",1)</f>
        <v>50000000</v>
      </c>
      <c r="F7" s="6" t="str">
        <f>[1]!s_ipo_listeddate(A7)</f>
        <v>2020-07-27</v>
      </c>
    </row>
    <row r="8" spans="1:6">
      <c r="A8" s="7" t="s">
        <v>24</v>
      </c>
      <c r="B8" s="7" t="s">
        <v>25</v>
      </c>
      <c r="C8" s="7" t="s">
        <v>26</v>
      </c>
      <c r="D8" s="7" t="str">
        <f>[1]!s_info_industry(A8,5,5)</f>
        <v>公用事业--燃气Ⅱ--燃气Ⅲ</v>
      </c>
      <c r="E8" s="8">
        <f>[1]!s_share_total(A8,"",1)</f>
        <v>234500000</v>
      </c>
      <c r="F8" s="6" t="str">
        <f>[1]!s_ipo_listeddate(A8)</f>
        <v>2020-07-27</v>
      </c>
    </row>
    <row r="9" spans="1:6">
      <c r="A9" s="7" t="s">
        <v>27</v>
      </c>
      <c r="B9" s="7" t="s">
        <v>28</v>
      </c>
      <c r="C9" s="7" t="s">
        <v>29</v>
      </c>
      <c r="D9" s="7" t="str">
        <f>[1]!s_info_industry(A9,5,5)</f>
        <v>农林牧渔--农业综合Ⅱ--农业综合Ⅲ</v>
      </c>
      <c r="E9" s="8">
        <f>[1]!s_share_total(A9,"",1)</f>
        <v>261208000</v>
      </c>
      <c r="F9" s="6" t="str">
        <f>[1]!s_ipo_listeddate(A9)</f>
        <v>2020-07-27</v>
      </c>
    </row>
    <row r="10" spans="1:6">
      <c r="A10" s="7" t="s">
        <v>30</v>
      </c>
      <c r="B10" s="7" t="s">
        <v>31</v>
      </c>
      <c r="C10" s="7" t="s">
        <v>32</v>
      </c>
      <c r="D10" s="7" t="str">
        <f>[1]!s_info_industry(A10,5,5)</f>
        <v>汽车--汽车零部件--底盘与发动机系统</v>
      </c>
      <c r="E10" s="8">
        <f>[1]!s_share_total(A10,"",1)</f>
        <v>80600000</v>
      </c>
      <c r="F10" s="6" t="str">
        <f>[1]!s_ipo_listeddate(A10)</f>
        <v>2020-07-27</v>
      </c>
    </row>
    <row r="11" spans="1:6">
      <c r="A11" s="7" t="s">
        <v>33</v>
      </c>
      <c r="B11" s="7" t="s">
        <v>34</v>
      </c>
      <c r="C11" s="7" t="s">
        <v>35</v>
      </c>
      <c r="D11" s="7" t="str">
        <f>[1]!s_info_industry(A11,5,5)</f>
        <v>计算机--计算机设备--安防设备</v>
      </c>
      <c r="E11" s="8">
        <f>[1]!s_share_total(A11,"",1)</f>
        <v>124126056</v>
      </c>
      <c r="F11" s="6" t="str">
        <f>[1]!s_ipo_listeddate(A11)</f>
        <v>2020-07-27</v>
      </c>
    </row>
    <row r="12" spans="1:6">
      <c r="A12" s="7" t="s">
        <v>36</v>
      </c>
      <c r="B12" s="7" t="s">
        <v>37</v>
      </c>
      <c r="C12" s="7" t="s">
        <v>38</v>
      </c>
      <c r="D12" s="7" t="str">
        <f>[1]!s_info_industry(A12,5,5)</f>
        <v>通信--通信设备--通信线缆及配套</v>
      </c>
      <c r="E12" s="8">
        <f>[1]!s_share_total(A12,"",1)</f>
        <v>187728000</v>
      </c>
      <c r="F12" s="6" t="str">
        <f>[1]!s_ipo_listeddate(A12)</f>
        <v>2020-07-27</v>
      </c>
    </row>
    <row r="13" spans="1:6">
      <c r="A13" s="7" t="s">
        <v>39</v>
      </c>
      <c r="B13" s="7" t="s">
        <v>40</v>
      </c>
      <c r="C13" s="7" t="s">
        <v>41</v>
      </c>
      <c r="D13" s="7" t="str">
        <f>[1]!s_info_industry(A13,5,5)</f>
        <v>农林牧渔--动物保健Ⅱ--动物保健Ⅲ</v>
      </c>
      <c r="E13" s="8">
        <f>[1]!s_share_total(A13,"",1)</f>
        <v>273350000</v>
      </c>
      <c r="F13" s="6" t="str">
        <f>[1]!s_ipo_listeddate(A13)</f>
        <v>2020-07-27</v>
      </c>
    </row>
    <row r="14" spans="1:6">
      <c r="A14" s="7" t="s">
        <v>42</v>
      </c>
      <c r="B14" s="7" t="s">
        <v>43</v>
      </c>
      <c r="C14" s="7" t="s">
        <v>44</v>
      </c>
      <c r="D14" s="7" t="str">
        <f>[1]!s_info_industry(A14,5,5)</f>
        <v>计算机--软件开发--横向通用软件</v>
      </c>
      <c r="E14" s="8">
        <f>[1]!s_share_total(A14,"",1)</f>
        <v>133790000</v>
      </c>
      <c r="F14" s="6" t="str">
        <f>[1]!s_ipo_listeddate(A14)</f>
        <v>2020-07-27</v>
      </c>
    </row>
    <row r="15" spans="1:6">
      <c r="A15" s="7" t="s">
        <v>45</v>
      </c>
      <c r="B15" s="7" t="s">
        <v>46</v>
      </c>
      <c r="C15" s="7" t="s">
        <v>47</v>
      </c>
      <c r="D15" s="7" t="str">
        <f>[1]!s_info_industry(A15,5,5)</f>
        <v>基础化工--农化制品--农药</v>
      </c>
      <c r="E15" s="8">
        <f>[1]!s_share_total(A15,"",1)</f>
        <v>1225800000</v>
      </c>
      <c r="F15" s="6" t="str">
        <f>[1]!s_ipo_listeddate(A15)</f>
        <v>2020-07-27</v>
      </c>
    </row>
    <row r="16" spans="1:6">
      <c r="A16" s="7" t="s">
        <v>48</v>
      </c>
      <c r="B16" s="7" t="s">
        <v>49</v>
      </c>
      <c r="C16" s="7" t="s">
        <v>50</v>
      </c>
      <c r="D16" s="7" t="str">
        <f>[1]!s_info_industry(A16,5,5)</f>
        <v>通信--通信设备--其他通信设备</v>
      </c>
      <c r="E16" s="8">
        <f>[1]!s_share_total(A16,"",1)</f>
        <v>109915358</v>
      </c>
      <c r="F16" s="6" t="str">
        <f>[1]!s_ipo_listeddate(A16)</f>
        <v>2020-07-27</v>
      </c>
    </row>
    <row r="17" spans="1:6">
      <c r="A17" s="7" t="s">
        <v>51</v>
      </c>
      <c r="B17" s="7" t="s">
        <v>52</v>
      </c>
      <c r="C17" s="7" t="s">
        <v>53</v>
      </c>
      <c r="D17" s="7" t="str">
        <f>[1]!s_info_industry(A17,5,5)</f>
        <v>国防军工--航空装备Ⅱ--航空装备Ⅲ</v>
      </c>
      <c r="E17" s="8">
        <f>[1]!s_share_total(A17,"",1)</f>
        <v>237510000</v>
      </c>
      <c r="F17" s="6" t="str">
        <f>[1]!s_ipo_listeddate(A17)</f>
        <v>2020-07-27</v>
      </c>
    </row>
    <row r="18" spans="1:6">
      <c r="A18" s="7" t="s">
        <v>54</v>
      </c>
      <c r="B18" s="7" t="s">
        <v>55</v>
      </c>
      <c r="C18" s="7" t="s">
        <v>56</v>
      </c>
      <c r="D18" s="7" t="str">
        <f>[1]!s_info_industry(A18,5,5)</f>
        <v>环保--环境治理--固废治理</v>
      </c>
      <c r="E18" s="8">
        <f>[1]!s_share_total(A18,"",1)</f>
        <v>306280000</v>
      </c>
      <c r="F18" s="6" t="str">
        <f>[1]!s_ipo_listeddate(A18)</f>
        <v>2020-07-27</v>
      </c>
    </row>
    <row r="19" spans="1:6">
      <c r="A19" s="7" t="s">
        <v>57</v>
      </c>
      <c r="B19" s="7" t="s">
        <v>58</v>
      </c>
      <c r="C19" s="7" t="s">
        <v>59</v>
      </c>
      <c r="D19" s="7" t="str">
        <f>[1]!s_info_industry(A19,5,5)</f>
        <v>汽车--汽车零部件--底盘与发动机系统</v>
      </c>
      <c r="E19" s="8">
        <f>[1]!s_share_total(A19,"",1)</f>
        <v>99900000</v>
      </c>
      <c r="F19" s="6" t="str">
        <f>[1]!s_ipo_listeddate(A19)</f>
        <v>2020-07-27</v>
      </c>
    </row>
    <row r="20" spans="1:6">
      <c r="A20" s="7" t="s">
        <v>60</v>
      </c>
      <c r="B20" s="7" t="s">
        <v>61</v>
      </c>
      <c r="C20" s="7" t="s">
        <v>62</v>
      </c>
      <c r="D20" s="7" t="str">
        <f>[1]!s_info_industry(A20,5,5)</f>
        <v>基础化工--化学原料--其他化学原料</v>
      </c>
      <c r="E20" s="8">
        <f>[1]!s_share_total(A20,"",1)</f>
        <v>85287000</v>
      </c>
      <c r="F20" s="6" t="str">
        <f>[1]!s_ipo_listeddate(A20)</f>
        <v>2020-07-27</v>
      </c>
    </row>
    <row r="21" spans="1:6">
      <c r="A21" s="7" t="s">
        <v>63</v>
      </c>
      <c r="B21" s="7" t="s">
        <v>64</v>
      </c>
      <c r="C21" s="7" t="s">
        <v>65</v>
      </c>
      <c r="D21" s="7" t="str">
        <f>[1]!s_info_industry(A21,5,5)</f>
        <v>电子--光学光电子--面板</v>
      </c>
      <c r="E21" s="8">
        <f>[1]!s_share_total(A21,"",1)</f>
        <v>124290000</v>
      </c>
      <c r="F21" s="6" t="str">
        <f>[1]!s_ipo_listeddate(A21)</f>
        <v>2020-07-27</v>
      </c>
    </row>
    <row r="22" spans="1:6">
      <c r="A22" s="7" t="s">
        <v>66</v>
      </c>
      <c r="B22" s="7" t="s">
        <v>67</v>
      </c>
      <c r="C22" s="7" t="s">
        <v>68</v>
      </c>
      <c r="D22" s="7" t="str">
        <f>[1]!s_info_industry(A22,5,5)</f>
        <v>轻工制造--包装印刷--综合包装</v>
      </c>
      <c r="E22" s="8">
        <f>[1]!s_share_total(A22,"",1)</f>
        <v>126000000</v>
      </c>
      <c r="F22" s="6" t="str">
        <f>[1]!s_ipo_listeddate(A22)</f>
        <v>2020-07-27</v>
      </c>
    </row>
    <row r="23" spans="1:6">
      <c r="A23" s="7" t="s">
        <v>69</v>
      </c>
      <c r="B23" s="7" t="s">
        <v>70</v>
      </c>
      <c r="C23" s="7" t="s">
        <v>71</v>
      </c>
      <c r="D23" s="7" t="str">
        <f>[1]!s_info_industry(A23,5,5)</f>
        <v>电力设备--电网设备--线缆部件及其他</v>
      </c>
      <c r="E23" s="8">
        <f>[1]!s_share_total(A23,"",1)</f>
        <v>208000000</v>
      </c>
      <c r="F23" s="6" t="str">
        <f>[1]!s_ipo_listeddate(A23)</f>
        <v>2020-07-27</v>
      </c>
    </row>
    <row r="24" spans="1:6">
      <c r="A24" s="7" t="s">
        <v>72</v>
      </c>
      <c r="B24" s="7" t="s">
        <v>73</v>
      </c>
      <c r="C24" s="7" t="s">
        <v>74</v>
      </c>
      <c r="D24" s="7" t="str">
        <f>[1]!s_info_industry(A24,5,5)</f>
        <v>医药生物--中药Ⅱ--中药Ⅲ</v>
      </c>
      <c r="E24" s="8">
        <f>[1]!s_share_total(A24,"",1)</f>
        <v>128000000</v>
      </c>
      <c r="F24" s="6" t="str">
        <f>[1]!s_ipo_listeddate(A24)</f>
        <v>2020-07-27</v>
      </c>
    </row>
    <row r="25" spans="1:6">
      <c r="A25" s="7" t="s">
        <v>75</v>
      </c>
      <c r="B25" s="7" t="s">
        <v>76</v>
      </c>
      <c r="C25" s="7" t="s">
        <v>77</v>
      </c>
      <c r="D25" s="7" t="str">
        <f>[1]!s_info_industry(A25,5,5)</f>
        <v>计算机--软件开发--垂直应用软件</v>
      </c>
      <c r="E25" s="8">
        <f>[1]!s_share_total(A25,"",1)</f>
        <v>137701987</v>
      </c>
      <c r="F25" s="6" t="str">
        <f>[1]!s_ipo_listeddate(A25)</f>
        <v>2020-07-27</v>
      </c>
    </row>
    <row r="26" spans="1:6">
      <c r="A26" s="7" t="s">
        <v>78</v>
      </c>
      <c r="B26" s="7" t="s">
        <v>79</v>
      </c>
      <c r="C26" s="7" t="s">
        <v>80</v>
      </c>
      <c r="D26" s="7" t="str">
        <f>[1]!s_info_industry(A26,5,5)</f>
        <v>环保--环境治理--大气治理</v>
      </c>
      <c r="E26" s="8">
        <f>[1]!s_share_total(A26,"",1)</f>
        <v>139960000</v>
      </c>
      <c r="F26" s="6" t="str">
        <f>[1]!s_ipo_listeddate(A26)</f>
        <v>2020-07-27</v>
      </c>
    </row>
    <row r="27" spans="1:6">
      <c r="A27" s="7" t="s">
        <v>81</v>
      </c>
      <c r="B27" s="7" t="s">
        <v>82</v>
      </c>
      <c r="C27" s="7" t="s">
        <v>83</v>
      </c>
      <c r="D27" s="7" t="str">
        <f>[1]!s_info_industry(A27,5,5)</f>
        <v>医药生物--中药Ⅱ--中药Ⅲ</v>
      </c>
      <c r="E27" s="8">
        <f>[1]!s_share_total(A27,"",1)</f>
        <v>145265601</v>
      </c>
      <c r="F27" s="6" t="str">
        <f>[1]!s_ipo_listeddate(A27)</f>
        <v>2020-07-27</v>
      </c>
    </row>
    <row r="28" spans="1:6">
      <c r="A28" s="7" t="s">
        <v>84</v>
      </c>
      <c r="B28" s="7" t="s">
        <v>85</v>
      </c>
      <c r="C28" s="7" t="s">
        <v>86</v>
      </c>
      <c r="D28" s="7" t="str">
        <f>[1]!s_info_industry(A28,5,5)</f>
        <v>汽车--汽车零部件--底盘与发动机系统</v>
      </c>
      <c r="E28" s="8">
        <f>[1]!s_share_total(A28,"",1)</f>
        <v>62373000</v>
      </c>
      <c r="F28" s="6" t="str">
        <f>[1]!s_ipo_listeddate(A28)</f>
        <v>2020-07-27</v>
      </c>
    </row>
    <row r="29" spans="1:6">
      <c r="A29" s="7" t="s">
        <v>87</v>
      </c>
      <c r="B29" s="7" t="s">
        <v>88</v>
      </c>
      <c r="C29" s="7" t="s">
        <v>89</v>
      </c>
      <c r="D29" s="7" t="str">
        <f>[1]!s_info_industry(A29,5,5)</f>
        <v>建筑装饰--工程咨询服务Ⅱ--工程咨询服务Ⅲ</v>
      </c>
      <c r="E29" s="8">
        <f>[1]!s_share_total(A29,"",1)</f>
        <v>73758000</v>
      </c>
      <c r="F29" s="6" t="str">
        <f>[1]!s_ipo_listeddate(A29)</f>
        <v>2020-07-27</v>
      </c>
    </row>
    <row r="30" spans="1:6">
      <c r="A30" s="7" t="s">
        <v>90</v>
      </c>
      <c r="B30" s="7" t="s">
        <v>91</v>
      </c>
      <c r="C30" s="7" t="s">
        <v>92</v>
      </c>
      <c r="D30" s="7" t="str">
        <f>[1]!s_info_industry(A30,5,5)</f>
        <v>机械设备--专用设备--其他专用设备</v>
      </c>
      <c r="E30" s="8">
        <f>[1]!s_share_total(A30,"",1)</f>
        <v>102960000</v>
      </c>
      <c r="F30" s="6" t="str">
        <f>[1]!s_ipo_listeddate(A30)</f>
        <v>2020-07-27</v>
      </c>
    </row>
    <row r="31" spans="1:6">
      <c r="A31" s="7" t="s">
        <v>93</v>
      </c>
      <c r="B31" s="7" t="s">
        <v>94</v>
      </c>
      <c r="C31" s="7" t="s">
        <v>95</v>
      </c>
      <c r="D31" s="7" t="str">
        <f>[1]!s_info_industry(A31,5,5)</f>
        <v>电力设备--光伏设备--光伏辅材</v>
      </c>
      <c r="E31" s="8">
        <f>[1]!s_share_total(A31,"",1)</f>
        <v>103320000</v>
      </c>
      <c r="F31" s="6" t="str">
        <f>[1]!s_ipo_listeddate(A31)</f>
        <v>2020-07-27</v>
      </c>
    </row>
    <row r="32" spans="1:6">
      <c r="A32" s="7" t="s">
        <v>96</v>
      </c>
      <c r="B32" s="7" t="s">
        <v>97</v>
      </c>
      <c r="C32" s="7" t="s">
        <v>98</v>
      </c>
      <c r="D32" s="7" t="str">
        <f>[1]!s_info_industry(A32,5,5)</f>
        <v>医药生物--医疗器械--医疗设备</v>
      </c>
      <c r="E32" s="8">
        <f>[1]!s_share_total(A32,"",1)</f>
        <v>176000000</v>
      </c>
      <c r="F32" s="6" t="str">
        <f>[1]!s_ipo_listeddate(A32)</f>
        <v>2020-07-27</v>
      </c>
    </row>
    <row r="33" spans="1:6">
      <c r="A33" s="7" t="s">
        <v>99</v>
      </c>
      <c r="B33" s="7" t="s">
        <v>100</v>
      </c>
      <c r="C33" s="7" t="s">
        <v>101</v>
      </c>
      <c r="D33" s="7" t="str">
        <f>[1]!s_info_industry(A33,5,5)</f>
        <v>传媒--电视广播Ⅱ--电视广播Ⅲ</v>
      </c>
      <c r="E33" s="8">
        <f>[1]!s_share_total(A33,"",1)</f>
        <v>314999983</v>
      </c>
      <c r="F33" s="6" t="str">
        <f>[1]!s_ipo_listeddate(A33)</f>
        <v>2020-07-27</v>
      </c>
    </row>
    <row r="34" spans="1:6">
      <c r="A34" s="7" t="s">
        <v>102</v>
      </c>
      <c r="B34" s="7" t="s">
        <v>103</v>
      </c>
      <c r="C34" s="7" t="s">
        <v>104</v>
      </c>
      <c r="D34" s="7" t="str">
        <f>[1]!s_info_industry(A34,5,5)</f>
        <v>机械设备--工程机械--工程机械器件</v>
      </c>
      <c r="E34" s="8">
        <f>[1]!s_share_total(A34,"",1)</f>
        <v>120000000</v>
      </c>
      <c r="F34" s="6" t="str">
        <f>[1]!s_ipo_listeddate(A34)</f>
        <v>2020-11-09</v>
      </c>
    </row>
    <row r="35" spans="1:6">
      <c r="A35" s="7" t="s">
        <v>105</v>
      </c>
      <c r="B35" s="7" t="s">
        <v>106</v>
      </c>
      <c r="C35" s="7" t="s">
        <v>107</v>
      </c>
      <c r="D35" s="7" t="str">
        <f>[1]!s_info_industry(A35,5,5)</f>
        <v>机械设备--自动化设备--其他自动化设备</v>
      </c>
      <c r="E35" s="8">
        <f>[1]!s_share_total(A35,"",1)</f>
        <v>53263891</v>
      </c>
      <c r="F35" s="6" t="str">
        <f>[1]!s_ipo_listeddate(A35)</f>
        <v>2020-11-18</v>
      </c>
    </row>
    <row r="36" spans="1:6">
      <c r="A36" s="7" t="s">
        <v>108</v>
      </c>
      <c r="B36" s="7" t="s">
        <v>109</v>
      </c>
      <c r="C36" s="7" t="s">
        <v>110</v>
      </c>
      <c r="D36" s="7" t="str">
        <f>[1]!s_info_industry(A36,5,5)</f>
        <v>医药生物--生物制品--其他生物制品</v>
      </c>
      <c r="E36" s="8">
        <f>[1]!s_share_total(A36,"",1)</f>
        <v>257250203</v>
      </c>
      <c r="F36" s="6" t="str">
        <f>[1]!s_ipo_listeddate(A36)</f>
        <v>2020-11-24</v>
      </c>
    </row>
    <row r="37" spans="1:6">
      <c r="A37" s="7" t="s">
        <v>111</v>
      </c>
      <c r="B37" s="7" t="s">
        <v>112</v>
      </c>
      <c r="C37" s="7" t="s">
        <v>113</v>
      </c>
      <c r="D37" s="7" t="str">
        <f>[1]!s_info_industry(A37,5,5)</f>
        <v>汽车--汽车服务--汽车经销商</v>
      </c>
      <c r="E37" s="8">
        <f>[1]!s_share_total(A37,"",1)</f>
        <v>178839681</v>
      </c>
      <c r="F37" s="6" t="str">
        <f>[1]!s_ipo_listeddate(A37)</f>
        <v>2020-11-27</v>
      </c>
    </row>
    <row r="38" spans="1:6">
      <c r="A38" s="7" t="s">
        <v>114</v>
      </c>
      <c r="B38" s="7" t="s">
        <v>115</v>
      </c>
      <c r="C38" s="7" t="s">
        <v>116</v>
      </c>
      <c r="D38" s="7" t="str">
        <f>[1]!s_info_industry(A38,5,5)</f>
        <v>医药生物--医疗服务--医疗研发外包</v>
      </c>
      <c r="E38" s="8">
        <f>[1]!s_share_total(A38,"",1)</f>
        <v>66364000</v>
      </c>
      <c r="F38" s="6" t="str">
        <f>[1]!s_ipo_listeddate(A38)</f>
        <v>2020-12-08</v>
      </c>
    </row>
    <row r="39" spans="1:6">
      <c r="A39" s="7" t="s">
        <v>117</v>
      </c>
      <c r="B39" s="7" t="s">
        <v>118</v>
      </c>
      <c r="C39" s="7" t="s">
        <v>119</v>
      </c>
      <c r="D39" s="7" t="str">
        <f>[1]!s_info_industry(A39,5,5)</f>
        <v>汽车--汽车零部件--底盘与发动机系统</v>
      </c>
      <c r="E39" s="8">
        <f>[1]!s_share_total(A39,"",1)</f>
        <v>93689065</v>
      </c>
      <c r="F39" s="6" t="str">
        <f>[1]!s_ipo_listeddate(A39)</f>
        <v>2020-12-23</v>
      </c>
    </row>
    <row r="40" spans="1:6">
      <c r="A40" s="7" t="s">
        <v>120</v>
      </c>
      <c r="B40" s="7" t="s">
        <v>121</v>
      </c>
      <c r="C40" s="7" t="s">
        <v>122</v>
      </c>
      <c r="D40" s="7" t="str">
        <f>[1]!s_info_industry(A40,5,5)</f>
        <v>机械设备--工程机械--工程机械整机</v>
      </c>
      <c r="E40" s="8">
        <f>[1]!s_share_total(A40,"",1)</f>
        <v>77471549</v>
      </c>
      <c r="F40" s="6" t="str">
        <f>[1]!s_ipo_listeddate(A40)</f>
        <v>2020-12-25</v>
      </c>
    </row>
    <row r="41" spans="1:6">
      <c r="A41" s="7" t="s">
        <v>123</v>
      </c>
      <c r="B41" s="7" t="s">
        <v>124</v>
      </c>
      <c r="C41" s="7" t="s">
        <v>125</v>
      </c>
      <c r="D41" s="7" t="str">
        <f>[1]!s_info_industry(A41,5,5)</f>
        <v>机械设备--工程机械--工程机械器件</v>
      </c>
      <c r="E41" s="8">
        <f>[1]!s_share_total(A41,"",1)</f>
        <v>131581378</v>
      </c>
      <c r="F41" s="6" t="str">
        <f>[1]!s_ipo_listeddate(A41)</f>
        <v>2020-12-28</v>
      </c>
    </row>
    <row r="42" spans="1:6">
      <c r="A42" s="7" t="s">
        <v>126</v>
      </c>
      <c r="B42" s="7" t="s">
        <v>127</v>
      </c>
      <c r="C42" s="7" t="s">
        <v>128</v>
      </c>
      <c r="D42" s="7" t="str">
        <f>[1]!s_info_industry(A42,5,5)</f>
        <v>基础化工--非金属材料Ⅱ--非金属材料Ⅲ</v>
      </c>
      <c r="E42" s="8">
        <f>[1]!s_share_total(A42,"",1)</f>
        <v>170880000</v>
      </c>
      <c r="F42" s="6" t="str">
        <f>[1]!s_ipo_listeddate(A42)</f>
        <v>2020-12-28</v>
      </c>
    </row>
    <row r="43" spans="1:6">
      <c r="A43" s="7" t="s">
        <v>129</v>
      </c>
      <c r="B43" s="7" t="s">
        <v>130</v>
      </c>
      <c r="C43" s="7" t="s">
        <v>131</v>
      </c>
      <c r="D43" s="7" t="str">
        <f>[1]!s_info_industry(A43,5,5)</f>
        <v>医药生物--生物制品--其他生物制品</v>
      </c>
      <c r="E43" s="8">
        <f>[1]!s_share_total(A43,"",1)</f>
        <v>121810000</v>
      </c>
      <c r="F43" s="6" t="str">
        <f>[1]!s_ipo_listeddate(A43)</f>
        <v>2021-01-08</v>
      </c>
    </row>
    <row r="44" spans="1:6">
      <c r="A44" s="7" t="s">
        <v>132</v>
      </c>
      <c r="B44" s="7" t="s">
        <v>133</v>
      </c>
      <c r="C44" s="7" t="s">
        <v>134</v>
      </c>
      <c r="D44" s="7" t="str">
        <f>[1]!s_info_industry(A44,5,5)</f>
        <v>机械设备--通用设备--仪器仪表</v>
      </c>
      <c r="E44" s="8">
        <f>[1]!s_share_total(A44,"",1)</f>
        <v>106203114</v>
      </c>
      <c r="F44" s="6" t="str">
        <f>[1]!s_ipo_listeddate(A44)</f>
        <v>2021-01-11</v>
      </c>
    </row>
    <row r="45" spans="1:6">
      <c r="A45" s="7" t="s">
        <v>135</v>
      </c>
      <c r="B45" s="7" t="s">
        <v>136</v>
      </c>
      <c r="C45" s="7" t="s">
        <v>137</v>
      </c>
      <c r="D45" s="7" t="str">
        <f>[1]!s_info_industry(A45,5,5)</f>
        <v>食品饮料--食品加工--预加工食品</v>
      </c>
      <c r="E45" s="8">
        <f>[1]!s_share_total(A45,"",1)</f>
        <v>88554084</v>
      </c>
      <c r="F45" s="6" t="str">
        <f>[1]!s_ipo_listeddate(A45)</f>
        <v>2021-01-12</v>
      </c>
    </row>
    <row r="46" spans="1:6">
      <c r="A46" s="7" t="s">
        <v>138</v>
      </c>
      <c r="B46" s="7" t="s">
        <v>139</v>
      </c>
      <c r="C46" s="7" t="s">
        <v>140</v>
      </c>
      <c r="D46" s="7" t="str">
        <f>[1]!s_info_industry(A46,5,5)</f>
        <v>农林牧渔--动物保健Ⅱ--动物保健Ⅲ</v>
      </c>
      <c r="E46" s="8">
        <f>[1]!s_share_total(A46,"",1)</f>
        <v>160277600</v>
      </c>
      <c r="F46" s="6" t="str">
        <f>[1]!s_ipo_listeddate(A46)</f>
        <v>2021-01-25</v>
      </c>
    </row>
    <row r="47" spans="1:6">
      <c r="A47" s="7" t="s">
        <v>141</v>
      </c>
      <c r="B47" s="7" t="s">
        <v>142</v>
      </c>
      <c r="C47" s="7" t="s">
        <v>143</v>
      </c>
      <c r="D47" s="7" t="str">
        <f>[1]!s_info_industry(A47,5,5)</f>
        <v>建筑装饰--工程咨询服务Ⅱ--工程咨询服务Ⅲ</v>
      </c>
      <c r="E47" s="8">
        <f>[1]!s_share_total(A47,"",1)</f>
        <v>82476000</v>
      </c>
      <c r="F47" s="6" t="str">
        <f>[1]!s_ipo_listeddate(A47)</f>
        <v>2021-02-05</v>
      </c>
    </row>
    <row r="48" spans="1:6">
      <c r="A48" s="7" t="s">
        <v>144</v>
      </c>
      <c r="B48" s="7" t="s">
        <v>145</v>
      </c>
      <c r="C48" s="7" t="s">
        <v>146</v>
      </c>
      <c r="D48" s="7" t="str">
        <f>[1]!s_info_industry(A48,5,5)</f>
        <v>电力设备--电池--锂电池</v>
      </c>
      <c r="E48" s="8">
        <f>[1]!s_share_total(A48,"",1)</f>
        <v>81283127</v>
      </c>
      <c r="F48" s="6" t="str">
        <f>[1]!s_ipo_listeddate(A48)</f>
        <v>2021-02-09</v>
      </c>
    </row>
    <row r="49" spans="1:6">
      <c r="A49" s="7" t="s">
        <v>147</v>
      </c>
      <c r="B49" s="7" t="s">
        <v>148</v>
      </c>
      <c r="C49" s="7" t="s">
        <v>149</v>
      </c>
      <c r="D49" s="7" t="str">
        <f>[1]!s_info_industry(A49,5,5)</f>
        <v>医药生物--化学制药--化学制剂</v>
      </c>
      <c r="E49" s="8">
        <f>[1]!s_share_total(A49,"",1)</f>
        <v>65286000</v>
      </c>
      <c r="F49" s="6" t="str">
        <f>[1]!s_ipo_listeddate(A49)</f>
        <v>2021-02-19</v>
      </c>
    </row>
    <row r="50" spans="1:6">
      <c r="A50" s="7" t="s">
        <v>150</v>
      </c>
      <c r="B50" s="7" t="s">
        <v>151</v>
      </c>
      <c r="C50" s="7" t="s">
        <v>152</v>
      </c>
      <c r="D50" s="7" t="str">
        <f>[1]!s_info_industry(A50,5,5)</f>
        <v>机械设备--工程机械--工程机械整机</v>
      </c>
      <c r="E50" s="8">
        <f>[1]!s_share_total(A50,"",1)</f>
        <v>452525000</v>
      </c>
      <c r="F50" s="6" t="str">
        <f>[1]!s_ipo_listeddate(A50)</f>
        <v>2021-02-22</v>
      </c>
    </row>
    <row r="51" spans="1:6">
      <c r="A51" s="7" t="s">
        <v>153</v>
      </c>
      <c r="B51" s="7" t="s">
        <v>154</v>
      </c>
      <c r="C51" s="7" t="s">
        <v>155</v>
      </c>
      <c r="D51" s="7" t="str">
        <f>[1]!s_info_industry(A51,5,5)</f>
        <v>基础化工--非金属材料Ⅱ--非金属材料Ⅲ</v>
      </c>
      <c r="E51" s="8">
        <f>[1]!s_share_total(A51,"",1)</f>
        <v>138763865</v>
      </c>
      <c r="F51" s="6" t="str">
        <f>[1]!s_ipo_listeddate(A51)</f>
        <v>2021-02-23</v>
      </c>
    </row>
    <row r="52" spans="1:6">
      <c r="A52" s="7" t="s">
        <v>156</v>
      </c>
      <c r="B52" s="7" t="s">
        <v>157</v>
      </c>
      <c r="C52" s="7" t="s">
        <v>158</v>
      </c>
      <c r="D52" s="7" t="str">
        <f>[1]!s_info_industry(A52,5,5)</f>
        <v>基础化工--橡胶--其他橡胶制品</v>
      </c>
      <c r="E52" s="8">
        <f>[1]!s_share_total(A52,"",1)</f>
        <v>81358266</v>
      </c>
      <c r="F52" s="6" t="str">
        <f>[1]!s_ipo_listeddate(A52)</f>
        <v>2021-02-25</v>
      </c>
    </row>
    <row r="53" spans="1:6">
      <c r="A53" s="7" t="s">
        <v>159</v>
      </c>
      <c r="B53" s="7" t="s">
        <v>160</v>
      </c>
      <c r="C53" s="7" t="s">
        <v>161</v>
      </c>
      <c r="D53" s="7" t="str">
        <f>[1]!s_info_industry(A53,5,5)</f>
        <v>食品饮料--调味发酵品Ⅱ--调味发酵品Ⅲ</v>
      </c>
      <c r="E53" s="8">
        <f>[1]!s_share_total(A53,"",1)</f>
        <v>102180000</v>
      </c>
      <c r="F53" s="6" t="str">
        <f>[1]!s_ipo_listeddate(A53)</f>
        <v>2021-05-27</v>
      </c>
    </row>
    <row r="54" spans="1:6">
      <c r="A54" s="7" t="s">
        <v>162</v>
      </c>
      <c r="B54" s="7" t="s">
        <v>163</v>
      </c>
      <c r="C54" s="7" t="s">
        <v>164</v>
      </c>
      <c r="D54" s="7" t="str">
        <f>[1]!s_info_industry(A54,5,5)</f>
        <v>电力设备--电池--锂电池</v>
      </c>
      <c r="E54" s="8">
        <f>[1]!s_share_total(A54,"",1)</f>
        <v>77924130</v>
      </c>
      <c r="F54" s="6" t="str">
        <f>[1]!s_ipo_listeddate(A54)</f>
        <v>2021-06-03</v>
      </c>
    </row>
    <row r="55" spans="1:6">
      <c r="A55" s="7" t="s">
        <v>165</v>
      </c>
      <c r="B55" s="7" t="s">
        <v>166</v>
      </c>
      <c r="C55" s="7" t="s">
        <v>167</v>
      </c>
      <c r="D55" s="7" t="str">
        <f>[1]!s_info_industry(A55,5,5)</f>
        <v>电子--消费电子--消费电子零部件及组装</v>
      </c>
      <c r="E55" s="8">
        <f>[1]!s_share_total(A55,"",1)</f>
        <v>106100000</v>
      </c>
      <c r="F55" s="6" t="str">
        <f>[1]!s_ipo_listeddate(A55)</f>
        <v>2021-06-08</v>
      </c>
    </row>
    <row r="56" spans="1:6">
      <c r="A56" s="7" t="s">
        <v>168</v>
      </c>
      <c r="B56" s="7" t="s">
        <v>169</v>
      </c>
      <c r="C56" s="7" t="s">
        <v>170</v>
      </c>
      <c r="D56" s="7" t="str">
        <f>[1]!s_info_industry(A56,5,5)</f>
        <v>家用电器--家电零部件Ⅱ--家电零部件Ⅲ</v>
      </c>
      <c r="E56" s="8">
        <f>[1]!s_share_total(A56,"",1)</f>
        <v>110970000</v>
      </c>
      <c r="F56" s="6" t="str">
        <f>[1]!s_ipo_listeddate(A56)</f>
        <v>2021-06-28</v>
      </c>
    </row>
    <row r="57" spans="1:6">
      <c r="A57" s="7" t="s">
        <v>171</v>
      </c>
      <c r="B57" s="7" t="s">
        <v>172</v>
      </c>
      <c r="C57" s="7" t="s">
        <v>173</v>
      </c>
      <c r="D57" s="7" t="str">
        <f>[1]!s_info_industry(A57,5,5)</f>
        <v>轻工制造--家居用品--定制家居</v>
      </c>
      <c r="E57" s="8">
        <f>[1]!s_share_total(A57,"",1)</f>
        <v>69613044</v>
      </c>
      <c r="F57" s="6" t="str">
        <f>[1]!s_ipo_listeddate(A57)</f>
        <v>2021-07-05</v>
      </c>
    </row>
    <row r="58" spans="1:6">
      <c r="A58" s="7" t="s">
        <v>174</v>
      </c>
      <c r="B58" s="7" t="s">
        <v>175</v>
      </c>
      <c r="C58" s="7" t="s">
        <v>176</v>
      </c>
      <c r="D58" s="7" t="str">
        <f>[1]!s_info_industry(A58,5,5)</f>
        <v>机械设备--自动化设备--工控设备</v>
      </c>
      <c r="E58" s="8">
        <f>[1]!s_share_total(A58,"",1)</f>
        <v>85709000</v>
      </c>
      <c r="F58" s="6" t="str">
        <f>[1]!s_ipo_listeddate(A58)</f>
        <v>2021-07-08</v>
      </c>
    </row>
    <row r="59" spans="1:6">
      <c r="A59" s="7" t="s">
        <v>177</v>
      </c>
      <c r="B59" s="7" t="s">
        <v>178</v>
      </c>
      <c r="C59" s="7" t="s">
        <v>179</v>
      </c>
      <c r="D59" s="7" t="str">
        <f>[1]!s_info_industry(A59,5,5)</f>
        <v>汽车--汽车零部件--底盘与发动机系统</v>
      </c>
      <c r="E59" s="8">
        <f>[1]!s_share_total(A59,"",1)</f>
        <v>134990443</v>
      </c>
      <c r="F59" s="6" t="str">
        <f>[1]!s_ipo_listeddate(A59)</f>
        <v>2021-07-20</v>
      </c>
    </row>
    <row r="60" spans="1:6">
      <c r="A60" s="7" t="s">
        <v>180</v>
      </c>
      <c r="B60" s="7" t="s">
        <v>181</v>
      </c>
      <c r="C60" s="7" t="s">
        <v>182</v>
      </c>
      <c r="D60" s="7" t="str">
        <f>[1]!s_info_industry(A60,5,5)</f>
        <v>电子--电子化学品Ⅱ--电子化学品Ⅲ</v>
      </c>
      <c r="E60" s="8">
        <f>[1]!s_share_total(A60,"",1)</f>
        <v>143690460</v>
      </c>
      <c r="F60" s="6" t="str">
        <f>[1]!s_ipo_listeddate(A60)</f>
        <v>2021-08-06</v>
      </c>
    </row>
    <row r="61" spans="1:6">
      <c r="A61" s="7" t="s">
        <v>183</v>
      </c>
      <c r="B61" s="7" t="s">
        <v>184</v>
      </c>
      <c r="C61" s="7" t="s">
        <v>185</v>
      </c>
      <c r="D61" s="7" t="str">
        <f>[1]!s_info_industry(A61,5,5)</f>
        <v>计算机--IT服务Ⅱ--IT服务Ⅲ</v>
      </c>
      <c r="E61" s="8">
        <f>[1]!s_share_total(A61,"",1)</f>
        <v>153333497</v>
      </c>
      <c r="F61" s="6" t="str">
        <f>[1]!s_ipo_listeddate(A61)</f>
        <v>2021-08-09</v>
      </c>
    </row>
    <row r="62" spans="1:6">
      <c r="A62" s="7" t="s">
        <v>186</v>
      </c>
      <c r="B62" s="7" t="s">
        <v>187</v>
      </c>
      <c r="C62" s="7" t="s">
        <v>188</v>
      </c>
      <c r="D62" s="7" t="str">
        <f>[1]!s_info_industry(A62,5,5)</f>
        <v>医药生物--化学制药--化学制剂</v>
      </c>
      <c r="E62" s="8">
        <f>[1]!s_share_total(A62,"",1)</f>
        <v>73280540</v>
      </c>
      <c r="F62" s="6" t="str">
        <f>[1]!s_ipo_listeddate(A62)</f>
        <v>2021-08-13</v>
      </c>
    </row>
    <row r="63" spans="1:6">
      <c r="A63" s="7" t="s">
        <v>189</v>
      </c>
      <c r="B63" s="7" t="s">
        <v>190</v>
      </c>
      <c r="C63" s="7" t="s">
        <v>191</v>
      </c>
      <c r="D63" s="7" t="str">
        <f>[1]!s_info_industry(A63,5,5)</f>
        <v>国防军工--航空装备Ⅱ--航空装备Ⅲ</v>
      </c>
      <c r="E63" s="8">
        <f>[1]!s_share_total(A63,"",1)</f>
        <v>74050199</v>
      </c>
      <c r="F63" s="6" t="str">
        <f>[1]!s_ipo_listeddate(A63)</f>
        <v>2021-08-16</v>
      </c>
    </row>
    <row r="64" spans="1:6">
      <c r="A64" s="7" t="s">
        <v>192</v>
      </c>
      <c r="B64" s="7" t="s">
        <v>193</v>
      </c>
      <c r="C64" s="7" t="s">
        <v>194</v>
      </c>
      <c r="D64" s="7" t="str">
        <f>[1]!s_info_industry(A64,5,5)</f>
        <v>社会服务--专业服务--其他专业服务</v>
      </c>
      <c r="E64" s="8">
        <f>[1]!s_share_total(A64,"",1)</f>
        <v>153820000</v>
      </c>
      <c r="F64" s="6" t="str">
        <f>[1]!s_ipo_listeddate(A64)</f>
        <v>2021-08-18</v>
      </c>
    </row>
    <row r="65" spans="1:6">
      <c r="A65" s="7" t="s">
        <v>195</v>
      </c>
      <c r="B65" s="7" t="s">
        <v>196</v>
      </c>
      <c r="C65" s="7" t="s">
        <v>197</v>
      </c>
      <c r="D65" s="7" t="str">
        <f>[1]!s_info_industry(A65,5,5)</f>
        <v>机械设备--专用设备--能源及重型设备</v>
      </c>
      <c r="E65" s="8">
        <f>[1]!s_share_total(A65,"",1)</f>
        <v>90008718</v>
      </c>
      <c r="F65" s="6" t="str">
        <f>[1]!s_ipo_listeddate(A65)</f>
        <v>2021-08-20</v>
      </c>
    </row>
    <row r="66" spans="1:6">
      <c r="A66" s="7" t="s">
        <v>198</v>
      </c>
      <c r="B66" s="7" t="s">
        <v>199</v>
      </c>
      <c r="C66" s="7" t="s">
        <v>200</v>
      </c>
      <c r="D66" s="7" t="str">
        <f>[1]!s_info_industry(A66,5,5)</f>
        <v>计算机--计算机设备--其他计算机设备</v>
      </c>
      <c r="E66" s="8">
        <f>[1]!s_share_total(A66,"",1)</f>
        <v>132376125</v>
      </c>
      <c r="F66" s="6" t="str">
        <f>[1]!s_ipo_listeddate(A66)</f>
        <v>2021-08-26</v>
      </c>
    </row>
    <row r="67" spans="1:6">
      <c r="A67" s="7" t="s">
        <v>201</v>
      </c>
      <c r="B67" s="7" t="s">
        <v>202</v>
      </c>
      <c r="C67" s="7" t="s">
        <v>203</v>
      </c>
      <c r="D67" s="7" t="str">
        <f>[1]!s_info_industry(A67,5,5)</f>
        <v>基础化工--化学纤维--其他化学纤维</v>
      </c>
      <c r="E67" s="8">
        <f>[1]!s_share_total(A67,"",1)</f>
        <v>318636363</v>
      </c>
      <c r="F67" s="6" t="str">
        <f>[1]!s_ipo_listeddate(A67)</f>
        <v>2021-08-31</v>
      </c>
    </row>
    <row r="68" spans="1:6">
      <c r="A68" s="7" t="s">
        <v>204</v>
      </c>
      <c r="B68" s="7" t="s">
        <v>205</v>
      </c>
      <c r="C68" s="7" t="s">
        <v>206</v>
      </c>
      <c r="D68" s="7" t="str">
        <f>[1]!s_info_industry(A68,5,5)</f>
        <v>医药生物--医疗器械--医疗设备</v>
      </c>
      <c r="E68" s="8">
        <f>[1]!s_share_total(A68,"",1)</f>
        <v>48600000</v>
      </c>
      <c r="F68" s="6" t="str">
        <f>[1]!s_ipo_listeddate(A68)</f>
        <v>2021-10-25</v>
      </c>
    </row>
    <row r="69" spans="1:6">
      <c r="A69" s="7" t="s">
        <v>207</v>
      </c>
      <c r="B69" s="7" t="s">
        <v>208</v>
      </c>
      <c r="C69" s="7" t="s">
        <v>209</v>
      </c>
      <c r="D69" s="7" t="str">
        <f>[1]!s_info_industry(A69,5,5)</f>
        <v>建筑装饰--工程咨询服务Ⅱ--工程咨询服务Ⅲ</v>
      </c>
      <c r="E69" s="8">
        <f>[1]!s_share_total(A69,"",1)</f>
        <v>76363347</v>
      </c>
      <c r="F69" s="6" t="str">
        <f>[1]!s_ipo_listeddate(A69)</f>
        <v>2021-10-28</v>
      </c>
    </row>
    <row r="70" spans="1:6">
      <c r="A70" s="7" t="s">
        <v>210</v>
      </c>
      <c r="B70" s="7" t="s">
        <v>211</v>
      </c>
      <c r="C70" s="7" t="s">
        <v>212</v>
      </c>
      <c r="D70" s="7" t="str">
        <f>[1]!s_info_industry(A70,5,5)</f>
        <v>通信--通信服务--通信工程及服务</v>
      </c>
      <c r="E70" s="8">
        <f>[1]!s_share_total(A70,"",1)</f>
        <v>83000000</v>
      </c>
      <c r="F70" s="6" t="str">
        <f>[1]!s_ipo_listeddate(A70)</f>
        <v>2021-11-03</v>
      </c>
    </row>
    <row r="71" spans="1:6">
      <c r="A71" s="7" t="s">
        <v>213</v>
      </c>
      <c r="B71" s="7" t="s">
        <v>214</v>
      </c>
      <c r="C71" s="7" t="s">
        <v>215</v>
      </c>
      <c r="D71" s="7" t="str">
        <f>[1]!s_info_industry(A71,5,5)</f>
        <v>机械设备--自动化设备--工控设备</v>
      </c>
      <c r="E71" s="8">
        <f>[1]!s_share_total(A71,"",1)</f>
        <v>70130000</v>
      </c>
      <c r="F71" s="6" t="str">
        <f>[1]!s_ipo_listeddate(A71)</f>
        <v>2021-11-05</v>
      </c>
    </row>
    <row r="72" spans="1:6">
      <c r="A72" s="7" t="s">
        <v>216</v>
      </c>
      <c r="B72" s="7" t="s">
        <v>217</v>
      </c>
      <c r="C72" s="7" t="s">
        <v>218</v>
      </c>
      <c r="D72" s="7" t="str">
        <f>[1]!s_info_industry(A72,5,5)</f>
        <v>基础化工--塑料--改性塑料</v>
      </c>
      <c r="E72" s="8">
        <f>[1]!s_share_total(A72,"",1)</f>
        <v>107620000</v>
      </c>
      <c r="F72" s="6" t="str">
        <f>[1]!s_ipo_listeddate(A72)</f>
        <v>2021-11-09</v>
      </c>
    </row>
    <row r="73" spans="1:6">
      <c r="A73" s="7" t="s">
        <v>219</v>
      </c>
      <c r="B73" s="7" t="s">
        <v>220</v>
      </c>
      <c r="C73" s="7" t="s">
        <v>221</v>
      </c>
      <c r="D73" s="7" t="str">
        <f>[1]!s_info_industry(A73,5,5)</f>
        <v>电子--元件--被动元件</v>
      </c>
      <c r="E73" s="8">
        <f>[1]!s_share_total(A73,"",1)</f>
        <v>54620000</v>
      </c>
      <c r="F73" s="6" t="str">
        <f>[1]!s_ipo_listeddate(A73)</f>
        <v>2021-11-15</v>
      </c>
    </row>
    <row r="74" spans="1:6">
      <c r="A74" s="7" t="s">
        <v>222</v>
      </c>
      <c r="B74" s="7" t="s">
        <v>223</v>
      </c>
      <c r="C74" s="7" t="s">
        <v>224</v>
      </c>
      <c r="D74" s="7" t="str">
        <f>[1]!s_info_industry(A74,5,5)</f>
        <v>机械设备--专用设备--能源及重型设备</v>
      </c>
      <c r="E74" s="8">
        <f>[1]!s_share_total(A74,"",1)</f>
        <v>72780000</v>
      </c>
      <c r="F74" s="6" t="str">
        <f>[1]!s_ipo_listeddate(A74)</f>
        <v>2021-11-15</v>
      </c>
    </row>
    <row r="75" spans="1:6">
      <c r="A75" s="7" t="s">
        <v>225</v>
      </c>
      <c r="B75" s="7" t="s">
        <v>226</v>
      </c>
      <c r="C75" s="7" t="s">
        <v>227</v>
      </c>
      <c r="D75" s="7" t="str">
        <f>[1]!s_info_industry(A75,5,5)</f>
        <v>计算机--软件开发--垂直应用软件</v>
      </c>
      <c r="E75" s="8">
        <f>[1]!s_share_total(A75,"",1)</f>
        <v>66999900</v>
      </c>
      <c r="F75" s="6" t="str">
        <f>[1]!s_ipo_listeddate(A75)</f>
        <v>2021-11-15</v>
      </c>
    </row>
    <row r="76" spans="1:6">
      <c r="A76" s="7" t="s">
        <v>228</v>
      </c>
      <c r="B76" s="7" t="s">
        <v>229</v>
      </c>
      <c r="C76" s="7" t="s">
        <v>230</v>
      </c>
      <c r="D76" s="7" t="str">
        <f>[1]!s_info_industry(A76,5,5)</f>
        <v>计算机--软件开发--垂直应用软件</v>
      </c>
      <c r="E76" s="8">
        <f>[1]!s_share_total(A76,"",1)</f>
        <v>47896000</v>
      </c>
      <c r="F76" s="6" t="str">
        <f>[1]!s_ipo_listeddate(A76)</f>
        <v>2021-11-15</v>
      </c>
    </row>
    <row r="77" spans="1:6">
      <c r="A77" s="7" t="s">
        <v>231</v>
      </c>
      <c r="B77" s="7" t="s">
        <v>232</v>
      </c>
      <c r="C77" s="7" t="s">
        <v>233</v>
      </c>
      <c r="D77" s="7" t="str">
        <f>[1]!s_info_industry(A77,5,5)</f>
        <v>建筑装饰--工程咨询服务Ⅱ--工程咨询服务Ⅲ</v>
      </c>
      <c r="E77" s="8">
        <f>[1]!s_share_total(A77,"",1)</f>
        <v>153387002</v>
      </c>
      <c r="F77" s="6" t="str">
        <f>[1]!s_ipo_listeddate(A77)</f>
        <v>2021-11-15</v>
      </c>
    </row>
    <row r="78" spans="1:6">
      <c r="A78" s="7" t="s">
        <v>234</v>
      </c>
      <c r="B78" s="7" t="s">
        <v>235</v>
      </c>
      <c r="C78" s="7" t="s">
        <v>236</v>
      </c>
      <c r="D78" s="7" t="str">
        <f>[1]!s_info_industry(A78,5,5)</f>
        <v>机械设备--通用设备--金属制品</v>
      </c>
      <c r="E78" s="8">
        <f>[1]!s_share_total(A78,"",1)</f>
        <v>51775000</v>
      </c>
      <c r="F78" s="6" t="str">
        <f>[1]!s_ipo_listeddate(A78)</f>
        <v>2021-11-15</v>
      </c>
    </row>
    <row r="79" spans="1:6">
      <c r="A79" s="7" t="s">
        <v>237</v>
      </c>
      <c r="B79" s="7" t="s">
        <v>238</v>
      </c>
      <c r="C79" s="7" t="s">
        <v>239</v>
      </c>
      <c r="D79" s="7" t="str">
        <f>[1]!s_info_industry(A79,5,5)</f>
        <v>汽车--汽车零部件--汽车电子电气系统</v>
      </c>
      <c r="E79" s="8">
        <f>[1]!s_share_total(A79,"",1)</f>
        <v>94476000</v>
      </c>
      <c r="F79" s="6" t="str">
        <f>[1]!s_ipo_listeddate(A79)</f>
        <v>2021-11-15</v>
      </c>
    </row>
    <row r="80" spans="1:6">
      <c r="A80" s="7" t="s">
        <v>240</v>
      </c>
      <c r="B80" s="7" t="s">
        <v>241</v>
      </c>
      <c r="C80" s="7" t="s">
        <v>242</v>
      </c>
      <c r="D80" s="7" t="str">
        <f>[1]!s_info_industry(A80,5,5)</f>
        <v>汽车--汽车零部件--底盘与发动机系统</v>
      </c>
      <c r="E80" s="8">
        <f>[1]!s_share_total(A80,"",1)</f>
        <v>105100000</v>
      </c>
      <c r="F80" s="6" t="str">
        <f>[1]!s_ipo_listeddate(A80)</f>
        <v>2021-11-15</v>
      </c>
    </row>
    <row r="81" spans="1:6">
      <c r="A81" s="7" t="s">
        <v>243</v>
      </c>
      <c r="B81" s="7" t="s">
        <v>244</v>
      </c>
      <c r="C81" s="7" t="s">
        <v>245</v>
      </c>
      <c r="D81" s="7" t="str">
        <f>[1]!s_info_industry(A81,5,5)</f>
        <v>环保--环保设备Ⅱ--环保设备Ⅲ</v>
      </c>
      <c r="E81" s="8">
        <f>[1]!s_share_total(A81,"",1)</f>
        <v>70550000</v>
      </c>
      <c r="F81" s="6" t="str">
        <f>[1]!s_ipo_listeddate(A81)</f>
        <v>2021-11-15</v>
      </c>
    </row>
    <row r="82" spans="1:6">
      <c r="A82" s="7" t="s">
        <v>246</v>
      </c>
      <c r="B82" s="7" t="s">
        <v>247</v>
      </c>
      <c r="C82" s="7" t="s">
        <v>248</v>
      </c>
      <c r="D82" s="7" t="str">
        <f>[1]!s_info_industry(A82,5,5)</f>
        <v>计算机--IT服务Ⅱ--IT服务Ⅲ</v>
      </c>
      <c r="E82" s="8">
        <f>[1]!s_share_total(A82,"",1)</f>
        <v>66822157</v>
      </c>
      <c r="F82" s="6" t="str">
        <f>[1]!s_ipo_listeddate(A82)</f>
        <v>2021-11-15</v>
      </c>
    </row>
    <row r="83" spans="1:6">
      <c r="A83" s="7" t="s">
        <v>249</v>
      </c>
      <c r="B83" s="7" t="s">
        <v>250</v>
      </c>
      <c r="C83" s="7" t="s">
        <v>251</v>
      </c>
      <c r="D83" s="7" t="str">
        <f>[1]!s_info_industry(A83,5,5)</f>
        <v>机械设备--工程机械--工程机械器件</v>
      </c>
      <c r="E83" s="8">
        <f>[1]!s_share_total(A83,"",1)</f>
        <v>91564500</v>
      </c>
      <c r="F83" s="6" t="str">
        <f>[1]!s_ipo_listeddate(A83)</f>
        <v>2021-11-24</v>
      </c>
    </row>
    <row r="84" spans="1:6">
      <c r="A84" s="7" t="s">
        <v>252</v>
      </c>
      <c r="B84" s="7" t="s">
        <v>253</v>
      </c>
      <c r="C84" s="7" t="s">
        <v>254</v>
      </c>
      <c r="D84" s="7" t="str">
        <f>[1]!s_info_industry(A84,5,5)</f>
        <v>机械设备--工程机械--工程机械器件</v>
      </c>
      <c r="E84" s="8">
        <f>[1]!s_share_total(A84,"",1)</f>
        <v>48750000</v>
      </c>
      <c r="F84" s="6" t="str">
        <f>[1]!s_ipo_listeddate(A84)</f>
        <v>2022-01-06</v>
      </c>
    </row>
    <row r="85" spans="1:6">
      <c r="A85" s="9" t="s">
        <v>255</v>
      </c>
      <c r="B85" s="9" t="s">
        <v>256</v>
      </c>
      <c r="C85" s="10" t="s">
        <v>257</v>
      </c>
      <c r="D85" s="11" t="str">
        <f>[1]!s_info_industry(A85,5,5)</f>
        <v>轻工制造--包装印刷--塑料包装</v>
      </c>
      <c r="E85" s="12">
        <f>[1]!s_share_total(A85,"",1)</f>
        <v>32235145</v>
      </c>
      <c r="F85" s="6" t="str">
        <f>[1]!s_ipo_listeddate(A85)</f>
        <v>2022-01-18</v>
      </c>
    </row>
  </sheetData>
  <autoFilter ref="F1:F85">
    <extLst/>
  </autoFilter>
  <sortState ref="A2:F85">
    <sortCondition ref="F2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袁浩铭yhm</dc:creator>
  <cp:lastModifiedBy>yuanhm</cp:lastModifiedBy>
  <dcterms:created xsi:type="dcterms:W3CDTF">2022-02-15T08:50:00Z</dcterms:created>
  <dcterms:modified xsi:type="dcterms:W3CDTF">2022-02-18T08:50:14Z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c3fcffe1</vt:lpwstr>
  </property>
  <property fmtid="{D5CDD505-2E9C-101B-9397-08002B2CF9AE}" pid="3" name="ICV">
    <vt:lpwstr>A07A51B6C49C4A6094697063C3F80B72</vt:lpwstr>
  </property>
  <property fmtid="{D5CDD505-2E9C-101B-9397-08002B2CF9AE}" pid="4" name="KSOProductBuildVer">
    <vt:lpwstr>2052-11.1.0.11294</vt:lpwstr>
  </property>
</Properties>
</file>